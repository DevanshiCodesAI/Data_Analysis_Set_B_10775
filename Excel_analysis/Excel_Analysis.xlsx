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ANSHI\Desktop\Data_Analysis_Mock2\"/>
    </mc:Choice>
  </mc:AlternateContent>
  <xr:revisionPtr revIDLastSave="0" documentId="13_ncr:1_{EBAB965F-DE13-4D6E-825E-670E52EDA7CD}" xr6:coauthVersionLast="47" xr6:coauthVersionMax="47" xr10:uidLastSave="{00000000-0000-0000-0000-000000000000}"/>
  <bookViews>
    <workbookView xWindow="-108" yWindow="-108" windowWidth="23256" windowHeight="12456" activeTab="3" xr2:uid="{BA184A43-9EDF-482E-B332-D888CE21E6C0}"/>
  </bookViews>
  <sheets>
    <sheet name="Raw" sheetId="5" r:id="rId1"/>
    <sheet name="Lookup" sheetId="7" r:id="rId2"/>
    <sheet name="Clean" sheetId="3" r:id="rId3"/>
    <sheet name="Summary" sheetId="4" r:id="rId4"/>
  </sheets>
  <definedNames>
    <definedName name="ExternalData_1" localSheetId="2" hidden="1">Clean!$A$1:$F$13</definedName>
    <definedName name="ExternalData_1" localSheetId="1" hidden="1">Lookup!$A$1:$C$5</definedName>
    <definedName name="ExternalData_1" localSheetId="0" hidden="1">Raw!$A$1:$F$14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2" i="4"/>
  <c r="H4" i="3"/>
  <c r="H5" i="3"/>
  <c r="H6" i="3"/>
  <c r="H7" i="3"/>
  <c r="H8" i="3"/>
  <c r="H9" i="3"/>
  <c r="H10" i="3"/>
  <c r="H11" i="3"/>
  <c r="H12" i="3"/>
  <c r="H13" i="3"/>
  <c r="H3" i="3"/>
  <c r="H2" i="3"/>
  <c r="G2" i="3"/>
  <c r="G3" i="3"/>
  <c r="G4" i="3"/>
  <c r="G5" i="3"/>
  <c r="G6" i="3"/>
  <c r="G7" i="3"/>
  <c r="G8" i="3"/>
  <c r="G9" i="3"/>
  <c r="G10" i="3"/>
  <c r="G11" i="3"/>
  <c r="G12" i="3"/>
  <c r="G13" i="3"/>
  <c r="B16" i="3"/>
  <c r="B1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7592B5-3253-487A-9078-E1ADC4AEE562}" keepAlive="1" name="Query - teams(1)" description="Connection to the 'teams' query in the workbook." type="5" refreshedVersion="8" background="1" saveData="1">
    <dbPr connection="Provider=Microsoft.Mashup.OleDb.1;Data Source=$Workbook$;Location=teams;Extended Properties=&quot;&quot;" command="SELECT * FROM [teams]"/>
  </connection>
  <connection id="2" xr16:uid="{E9E4ED10-E9AB-4865-B2AC-6C887F966576}" keepAlive="1" name="Query - tickets" description="Connection to the 'tickets' query in the workbook." type="5" refreshedVersion="8" background="1" saveData="1">
    <dbPr connection="Provider=Microsoft.Mashup.OleDb.1;Data Source=$Workbook$;Location=tickets;Extended Properties=&quot;&quot;" command="SELECT * FROM [tickets]"/>
  </connection>
  <connection id="3" xr16:uid="{5FDAB40D-F936-432F-959C-6CE37C430FD7}" keepAlive="1" name="Query - tickets (2)" description="Connection to the 'tickets (2)' query in the workbook." type="5" refreshedVersion="8" background="1" saveData="1">
    <dbPr connection="Provider=Microsoft.Mashup.OleDb.1;Data Source=$Workbook$;Location=&quot;tickets (2)&quot;;Extended Properties=&quot;&quot;" command="SELECT * FROM [tickets (2)]"/>
  </connection>
</connections>
</file>

<file path=xl/sharedStrings.xml><?xml version="1.0" encoding="utf-8"?>
<sst xmlns="http://schemas.openxmlformats.org/spreadsheetml/2006/main" count="121" uniqueCount="32">
  <si>
    <t>ticket_id</t>
  </si>
  <si>
    <t>month</t>
  </si>
  <si>
    <t>team_id</t>
  </si>
  <si>
    <t>channel</t>
  </si>
  <si>
    <t>resolution_hours</t>
  </si>
  <si>
    <t>satisfaction</t>
  </si>
  <si>
    <t>Jan</t>
  </si>
  <si>
    <t>T1</t>
  </si>
  <si>
    <t>Email</t>
  </si>
  <si>
    <t>T2</t>
  </si>
  <si>
    <t>Chat</t>
  </si>
  <si>
    <t>T3</t>
  </si>
  <si>
    <t>Phone</t>
  </si>
  <si>
    <t>T4</t>
  </si>
  <si>
    <t>Feb</t>
  </si>
  <si>
    <t>Mar</t>
  </si>
  <si>
    <t>Total Rows=</t>
  </si>
  <si>
    <t>team</t>
  </si>
  <si>
    <t>department</t>
  </si>
  <si>
    <t>AccountCare</t>
  </si>
  <si>
    <t>Service</t>
  </si>
  <si>
    <t>BillingHelp</t>
  </si>
  <si>
    <t>AppSupport</t>
  </si>
  <si>
    <t>Technical</t>
  </si>
  <si>
    <t>DeviceHelp</t>
  </si>
  <si>
    <t>breach_flag</t>
  </si>
  <si>
    <t>Channel</t>
  </si>
  <si>
    <t>Breach Count</t>
  </si>
  <si>
    <t>Row Labels</t>
  </si>
  <si>
    <t>Grand Total</t>
  </si>
  <si>
    <t>Column Labels</t>
  </si>
  <si>
    <t>Average of resolution_hours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</si>
</sst>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1" fillId="0" borderId="0" xfId="0" applyFont="1" applyAlignment="1">
      <alignment vertical="center"/>
    </xf>
    <xf numFmtId="0" fontId="0" fillId="2" borderId="1" xfId="0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0" borderId="0" xfId="0" applyFont="1"/>
    <xf numFmtId="0" fontId="2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[Excel_Analysis.xlsx]Summary!PivotTable1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0" i="0">
                <a:effectLst/>
              </a:rPr>
              <a:t>Average Resolution Hours by Department and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Summary!$B$7:$B$8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Summary!$A$9:$A$11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Summary!$B$9:$B$11</c:f>
              <c:numCache>
                <c:formatCode>General</c:formatCode>
                <c:ptCount val="2"/>
                <c:pt idx="0">
                  <c:v>20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8-4E3C-B448-242E4EA56C0A}"/>
            </c:ext>
          </c:extLst>
        </c:ser>
        <c:ser>
          <c:idx val="1"/>
          <c:order val="1"/>
          <c:tx>
            <c:strRef>
              <c:f>Summary!$C$7:$C$8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Summary!$A$9:$A$11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Summary!$C$9:$C$11</c:f>
              <c:numCache>
                <c:formatCode>General</c:formatCode>
                <c:ptCount val="2"/>
                <c:pt idx="0">
                  <c:v>19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E8-4E3C-B448-242E4EA56C0A}"/>
            </c:ext>
          </c:extLst>
        </c:ser>
        <c:ser>
          <c:idx val="2"/>
          <c:order val="2"/>
          <c:tx>
            <c:strRef>
              <c:f>Summary!$D$7:$D$8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Summary!$A$9:$A$11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Summary!$D$9:$D$11</c:f>
              <c:numCache>
                <c:formatCode>General</c:formatCode>
                <c:ptCount val="2"/>
                <c:pt idx="0">
                  <c:v>19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E8-4E3C-B448-242E4EA56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1389904"/>
        <c:axId val="1492016143"/>
      </c:barChart>
      <c:catAx>
        <c:axId val="39138990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016143"/>
        <c:crosses val="autoZero"/>
        <c:auto val="1"/>
        <c:lblAlgn val="ctr"/>
        <c:lblOffset val="100"/>
        <c:noMultiLvlLbl val="0"/>
      </c:catAx>
      <c:valAx>
        <c:axId val="149201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>
                    <a:effectLst/>
                  </a:rPr>
                  <a:t>Average Resolution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8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388620</xdr:colOff>
      <xdr:row>0</xdr:row>
      <xdr:rowOff>34290</xdr:rowOff>
    </xdr:from>
    <xdr:to>
      <xdr:col>15</xdr:col>
      <xdr:colOff>327660</xdr:colOff>
      <xdr:row>26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2E1F69-37B9-D45D-62AD-C0745B138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ANSHI" refreshedDate="46298.504758796298" createdVersion="8" refreshedVersion="8" minRefreshableVersion="3" recordCount="12" xr:uid="{F628BE7F-49CE-4B08-9B6E-7FF0523B1B54}">
  <cacheSource type="worksheet">
    <worksheetSource name="tickets7"/>
  </cacheSource>
  <cacheFields count="8">
    <cacheField name="ticket_id" numFmtId="0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team_id" numFmtId="0">
      <sharedItems/>
    </cacheField>
    <cacheField name="channel" numFmtId="0">
      <sharedItems/>
    </cacheField>
    <cacheField name="resolution_hours" numFmtId="0">
      <sharedItems containsSemiMixedTypes="0" containsString="0" containsNumber="1" containsInteger="1" minValue="8" maxValue="40"/>
    </cacheField>
    <cacheField name="satisfaction" numFmtId="0">
      <sharedItems containsSemiMixedTypes="0" containsString="0" containsNumber="1" containsInteger="1" minValue="2" maxValue="5"/>
    </cacheField>
    <cacheField name="department" numFmtId="0">
      <sharedItems count="2">
        <s v="Service"/>
        <s v="Technical"/>
      </sharedItems>
    </cacheField>
    <cacheField name="breach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T1"/>
    <s v="Email"/>
    <n v="12"/>
    <n v="4"/>
    <x v="0"/>
    <n v="0"/>
  </r>
  <r>
    <n v="2"/>
    <x v="0"/>
    <s v="T2"/>
    <s v="Chat"/>
    <n v="28"/>
    <n v="3"/>
    <x v="0"/>
    <n v="1"/>
  </r>
  <r>
    <n v="3"/>
    <x v="0"/>
    <s v="T3"/>
    <s v="Phone"/>
    <n v="36"/>
    <n v="2"/>
    <x v="1"/>
    <n v="1"/>
  </r>
  <r>
    <n v="4"/>
    <x v="0"/>
    <s v="T4"/>
    <s v="Email"/>
    <n v="20"/>
    <n v="4"/>
    <x v="1"/>
    <n v="0"/>
  </r>
  <r>
    <n v="5"/>
    <x v="1"/>
    <s v="T1"/>
    <s v="Chat"/>
    <n v="8"/>
    <n v="5"/>
    <x v="0"/>
    <n v="0"/>
  </r>
  <r>
    <n v="6"/>
    <x v="1"/>
    <s v="T2"/>
    <s v="Phone"/>
    <n v="30"/>
    <n v="3"/>
    <x v="0"/>
    <n v="1"/>
  </r>
  <r>
    <n v="7"/>
    <x v="1"/>
    <s v="T3"/>
    <s v="Email"/>
    <n v="18"/>
    <n v="4"/>
    <x v="1"/>
    <n v="0"/>
  </r>
  <r>
    <n v="8"/>
    <x v="1"/>
    <s v="T4"/>
    <s v="Chat"/>
    <n v="40"/>
    <n v="2"/>
    <x v="1"/>
    <n v="1"/>
  </r>
  <r>
    <n v="9"/>
    <x v="2"/>
    <s v="T1"/>
    <s v="Phone"/>
    <n v="16"/>
    <n v="4"/>
    <x v="0"/>
    <n v="0"/>
  </r>
  <r>
    <n v="10"/>
    <x v="2"/>
    <s v="T2"/>
    <s v="Email"/>
    <n v="22"/>
    <n v="4"/>
    <x v="0"/>
    <n v="0"/>
  </r>
  <r>
    <n v="11"/>
    <x v="2"/>
    <s v="T3"/>
    <s v="Chat"/>
    <n v="32"/>
    <n v="3"/>
    <x v="1"/>
    <n v="1"/>
  </r>
  <r>
    <n v="12"/>
    <x v="2"/>
    <s v="T4"/>
    <s v="Phone"/>
    <n v="24"/>
    <n v="5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EF6C1-BD9A-4782-A5E9-4A6652D55E2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7:E11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resolution_hours" fld="4" subtotal="average" baseField="0" baseItem="0"/>
  </dataFields>
  <chartFormats count="3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F790E66-027A-4F0D-9FF9-22584F009DB7}" autoFormatId="16" applyNumberFormats="0" applyBorderFormats="0" applyFontFormats="0" applyPatternFormats="0" applyAlignmentFormats="0" applyWidthHeightFormats="0">
  <queryTableRefresh nextId="7">
    <queryTableFields count="6">
      <queryTableField id="1" name="ticket_id" tableColumnId="1"/>
      <queryTableField id="2" name="month" tableColumnId="2"/>
      <queryTableField id="3" name="team_id" tableColumnId="3"/>
      <queryTableField id="4" name="channel" tableColumnId="4"/>
      <queryTableField id="5" name="resolution_hours" tableColumnId="5"/>
      <queryTableField id="6" name="satisfactio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592802-A7B3-40C0-84B9-4D4535BBA83C}" autoFormatId="16" applyNumberFormats="0" applyBorderFormats="0" applyFontFormats="0" applyPatternFormats="0" applyAlignmentFormats="0" applyWidthHeightFormats="0">
  <queryTableRefresh nextId="4">
    <queryTableFields count="3">
      <queryTableField id="1" name="team_id" tableColumnId="1"/>
      <queryTableField id="2" name="team" tableColumnId="2"/>
      <queryTableField id="3" name="departmen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3951885-C696-42AB-BB7C-43A07D1362F9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ticket_id" tableColumnId="1"/>
      <queryTableField id="2" name="month" tableColumnId="2"/>
      <queryTableField id="3" name="team_id" tableColumnId="3"/>
      <queryTableField id="4" name="channel" tableColumnId="4"/>
      <queryTableField id="5" name="resolution_hours" tableColumnId="5"/>
      <queryTableField id="6" name="satisfaction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B1ABB6-519B-4D8B-93B9-6FCAE5A9D74E}" name="tickets" displayName="tickets" ref="A1:F14" tableType="queryTable" totalsRowShown="0">
  <autoFilter ref="A1:F14" xr:uid="{FBB1ABB6-519B-4D8B-93B9-6FCAE5A9D74E}"/>
  <tableColumns count="6">
    <tableColumn id="1" xr3:uid="{76341B82-E670-442A-98BD-20430E8F481D}" uniqueName="1" name="ticket_id" queryTableFieldId="1"/>
    <tableColumn id="2" xr3:uid="{71AE962D-C6BD-48B4-843C-EA8D46913552}" uniqueName="2" name="month" queryTableFieldId="2" dataDxfId="10"/>
    <tableColumn id="3" xr3:uid="{7C8A6869-841E-4085-B411-0B589928F3A3}" uniqueName="3" name="team_id" queryTableFieldId="3" dataDxfId="9"/>
    <tableColumn id="4" xr3:uid="{CDDBCBA3-9365-4669-BDF7-2EB5A305202F}" uniqueName="4" name="channel" queryTableFieldId="4" dataDxfId="8"/>
    <tableColumn id="5" xr3:uid="{6C8B11DB-352E-4354-9933-839154F4D5AE}" uniqueName="5" name="resolution_hours" queryTableFieldId="5"/>
    <tableColumn id="6" xr3:uid="{67F1806E-A53D-464B-A878-3B60093B9C8E}" uniqueName="6" name="satisfaction" queryTableFieldId="6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B556CC-3841-4B41-A854-5482A3258FF9}" name="teams" displayName="teams" ref="A1:C5" tableType="queryTable" totalsRowShown="0">
  <autoFilter ref="A1:C5" xr:uid="{E5B556CC-3841-4B41-A854-5482A3258FF9}"/>
  <tableColumns count="3">
    <tableColumn id="1" xr3:uid="{3AB2384F-38A6-4EFC-8674-F6EFB51F8ED1}" uniqueName="1" name="team_id" queryTableFieldId="1" dataDxfId="7"/>
    <tableColumn id="2" xr3:uid="{C073903B-FE9B-4ADB-94BB-621542F8D1C3}" uniqueName="2" name="team" queryTableFieldId="2" dataDxfId="6"/>
    <tableColumn id="3" xr3:uid="{EADA7FDF-1C73-4D13-9E8B-7CE80BDA31E2}" uniqueName="3" name="department" queryTableFieldId="3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6E1A66-4CC1-4AB8-9E2D-BCDE9FDFD55A}" name="tickets7" displayName="tickets7" ref="A1:H13" tableType="queryTable" totalsRowShown="0">
  <autoFilter ref="A1:H13" xr:uid="{036E1A66-4CC1-4AB8-9E2D-BCDE9FDFD55A}"/>
  <tableColumns count="8">
    <tableColumn id="1" xr3:uid="{842F91F0-B4DC-4596-921A-9B70D53D1BF1}" uniqueName="1" name="ticket_id" queryTableFieldId="1"/>
    <tableColumn id="2" xr3:uid="{F43196B1-4A3D-4B46-A5B9-C671A812E3FB}" uniqueName="2" name="month" queryTableFieldId="2" dataDxfId="4"/>
    <tableColumn id="3" xr3:uid="{A8C2DC8A-827E-4DD3-B109-5EC966A3A770}" uniqueName="3" name="team_id" queryTableFieldId="3" dataDxfId="3"/>
    <tableColumn id="4" xr3:uid="{0772E724-E4FE-488A-95ED-34E8511C00C3}" uniqueName="4" name="channel" queryTableFieldId="4" dataDxfId="2"/>
    <tableColumn id="5" xr3:uid="{2C8CCAAA-BDB3-434C-830D-9E6D5047B0F6}" uniqueName="5" name="resolution_hours" queryTableFieldId="5"/>
    <tableColumn id="6" xr3:uid="{FA9F6CD7-3DC4-4606-ACA9-F55F7344626A}" uniqueName="6" name="satisfaction" queryTableFieldId="6"/>
    <tableColumn id="7" xr3:uid="{D4C5F1AE-1A1F-4DA0-B9F7-A045605EA07D}" uniqueName="7" name="department" queryTableFieldId="7" dataDxfId="1">
      <calculatedColumnFormula>_xlfn.XLOOKUP(C2,Lookup!A:A,Lookup!C:C)</calculatedColumnFormula>
    </tableColumn>
    <tableColumn id="8" xr3:uid="{7534D98D-4C2B-4FFB-8A80-5D55A7736E67}" uniqueName="8" name="breach_flag" queryTableFieldId="8" dataDxfId="0">
      <calculatedColumnFormula>IF(E2&gt;24,1,0)</calculatedColumnFormula>
    </tableColumn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8C3155-24A3-47DB-A1C1-18FF746B4668}" name="Table7" displayName="Table7" ref="A1:B4" totalsRowShown="0">
  <autoFilter ref="A1:B4" xr:uid="{9C8C3155-24A3-47DB-A1C1-18FF746B4668}"/>
  <tableColumns count="2">
    <tableColumn id="1" xr3:uid="{A53A4C01-CD41-48E5-8E19-3738E714C98B}" name="Channel"/>
    <tableColumn id="2" xr3:uid="{1E7D5F32-6319-4B7C-9B06-7320D01C5E3B}" name="Breach Count">
      <calculatedColumnFormula>COUNTIFS(Clean!$D$2:$D$13,A2,Clean!$H$2:$H$13,1)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FE232-1FC1-42C0-BD51-A2E6CB44FD43}">
  <dimension ref="A1:F16"/>
  <sheetViews>
    <sheetView workbookViewId="0">
      <selection sqref="A1:F16"/>
    </sheetView>
  </sheetViews>
  <sheetFormatPr defaultRowHeight="14.4" x14ac:dyDescent="0.3"/>
  <cols>
    <col min="1" max="1" width="10.5546875" bestFit="1" customWidth="1"/>
    <col min="2" max="2" width="8.5546875" bestFit="1" customWidth="1"/>
    <col min="3" max="3" width="10" bestFit="1" customWidth="1"/>
    <col min="4" max="4" width="9.77734375" bestFit="1" customWidth="1"/>
    <col min="5" max="5" width="17" bestFit="1" customWidth="1"/>
    <col min="6" max="6" width="13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 t="s">
        <v>6</v>
      </c>
      <c r="C2" s="1" t="s">
        <v>7</v>
      </c>
      <c r="D2" s="1" t="s">
        <v>8</v>
      </c>
      <c r="E2">
        <v>12</v>
      </c>
      <c r="F2">
        <v>4</v>
      </c>
    </row>
    <row r="3" spans="1:6" x14ac:dyDescent="0.3">
      <c r="A3">
        <v>2</v>
      </c>
      <c r="B3" s="1" t="s">
        <v>6</v>
      </c>
      <c r="C3" s="1" t="s">
        <v>9</v>
      </c>
      <c r="D3" s="1" t="s">
        <v>10</v>
      </c>
      <c r="E3">
        <v>28</v>
      </c>
      <c r="F3">
        <v>3</v>
      </c>
    </row>
    <row r="4" spans="1:6" x14ac:dyDescent="0.3">
      <c r="A4">
        <v>3</v>
      </c>
      <c r="B4" s="1" t="s">
        <v>6</v>
      </c>
      <c r="C4" s="1" t="s">
        <v>11</v>
      </c>
      <c r="D4" s="1" t="s">
        <v>12</v>
      </c>
      <c r="E4">
        <v>36</v>
      </c>
      <c r="F4">
        <v>2</v>
      </c>
    </row>
    <row r="5" spans="1:6" x14ac:dyDescent="0.3">
      <c r="A5">
        <v>4</v>
      </c>
      <c r="B5" s="1" t="s">
        <v>6</v>
      </c>
      <c r="C5" s="1" t="s">
        <v>13</v>
      </c>
      <c r="D5" s="1" t="s">
        <v>8</v>
      </c>
      <c r="E5">
        <v>20</v>
      </c>
      <c r="F5">
        <v>4</v>
      </c>
    </row>
    <row r="6" spans="1:6" x14ac:dyDescent="0.3">
      <c r="A6">
        <v>5</v>
      </c>
      <c r="B6" s="1" t="s">
        <v>14</v>
      </c>
      <c r="C6" s="1" t="s">
        <v>7</v>
      </c>
      <c r="D6" s="1" t="s">
        <v>10</v>
      </c>
      <c r="E6">
        <v>8</v>
      </c>
      <c r="F6">
        <v>5</v>
      </c>
    </row>
    <row r="7" spans="1:6" x14ac:dyDescent="0.3">
      <c r="A7">
        <v>6</v>
      </c>
      <c r="B7" s="1" t="s">
        <v>14</v>
      </c>
      <c r="C7" s="1" t="s">
        <v>9</v>
      </c>
      <c r="D7" s="1" t="s">
        <v>12</v>
      </c>
      <c r="E7">
        <v>30</v>
      </c>
      <c r="F7">
        <v>3</v>
      </c>
    </row>
    <row r="8" spans="1:6" x14ac:dyDescent="0.3">
      <c r="A8">
        <v>7</v>
      </c>
      <c r="B8" s="1" t="s">
        <v>14</v>
      </c>
      <c r="C8" s="1" t="s">
        <v>11</v>
      </c>
      <c r="D8" s="1" t="s">
        <v>8</v>
      </c>
      <c r="E8">
        <v>18</v>
      </c>
      <c r="F8">
        <v>4</v>
      </c>
    </row>
    <row r="9" spans="1:6" x14ac:dyDescent="0.3">
      <c r="A9">
        <v>8</v>
      </c>
      <c r="B9" s="1" t="s">
        <v>14</v>
      </c>
      <c r="C9" s="1" t="s">
        <v>13</v>
      </c>
      <c r="D9" s="1" t="s">
        <v>10</v>
      </c>
      <c r="E9">
        <v>40</v>
      </c>
      <c r="F9">
        <v>2</v>
      </c>
    </row>
    <row r="10" spans="1:6" x14ac:dyDescent="0.3">
      <c r="A10">
        <v>9</v>
      </c>
      <c r="B10" s="1" t="s">
        <v>15</v>
      </c>
      <c r="C10" s="1" t="s">
        <v>7</v>
      </c>
      <c r="D10" s="1" t="s">
        <v>12</v>
      </c>
      <c r="E10">
        <v>16</v>
      </c>
      <c r="F10">
        <v>4</v>
      </c>
    </row>
    <row r="11" spans="1:6" x14ac:dyDescent="0.3">
      <c r="A11">
        <v>10</v>
      </c>
      <c r="B11" s="1" t="s">
        <v>15</v>
      </c>
      <c r="C11" s="1" t="s">
        <v>9</v>
      </c>
      <c r="D11" s="1" t="s">
        <v>8</v>
      </c>
      <c r="E11">
        <v>22</v>
      </c>
      <c r="F11">
        <v>4</v>
      </c>
    </row>
    <row r="12" spans="1:6" x14ac:dyDescent="0.3">
      <c r="A12">
        <v>11</v>
      </c>
      <c r="B12" s="1" t="s">
        <v>15</v>
      </c>
      <c r="C12" s="1" t="s">
        <v>11</v>
      </c>
      <c r="D12" s="1" t="s">
        <v>10</v>
      </c>
      <c r="E12">
        <v>32</v>
      </c>
      <c r="F12">
        <v>3</v>
      </c>
    </row>
    <row r="13" spans="1:6" x14ac:dyDescent="0.3">
      <c r="A13">
        <v>12</v>
      </c>
      <c r="B13" s="1" t="s">
        <v>15</v>
      </c>
      <c r="C13" s="1" t="s">
        <v>13</v>
      </c>
      <c r="D13" s="1" t="s">
        <v>12</v>
      </c>
      <c r="E13">
        <v>24</v>
      </c>
      <c r="F13">
        <v>5</v>
      </c>
    </row>
    <row r="14" spans="1:6" x14ac:dyDescent="0.3">
      <c r="A14">
        <v>12</v>
      </c>
      <c r="B14" s="1" t="s">
        <v>15</v>
      </c>
      <c r="C14" s="1" t="s">
        <v>13</v>
      </c>
      <c r="D14" s="1" t="s">
        <v>12</v>
      </c>
      <c r="E14">
        <v>24</v>
      </c>
      <c r="F14">
        <v>5</v>
      </c>
    </row>
    <row r="16" spans="1:6" x14ac:dyDescent="0.3">
      <c r="A16" s="3" t="s">
        <v>16</v>
      </c>
      <c r="B16" s="4">
        <f>COUNTA(A2:A14)</f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69ED-ACF9-4ED7-9880-4C302216607D}">
  <dimension ref="A1:C5"/>
  <sheetViews>
    <sheetView workbookViewId="0">
      <selection activeCell="D6" sqref="D6"/>
    </sheetView>
  </sheetViews>
  <sheetFormatPr defaultRowHeight="14.4" x14ac:dyDescent="0.3"/>
  <cols>
    <col min="1" max="1" width="10" bestFit="1" customWidth="1"/>
    <col min="2" max="2" width="11.5546875" bestFit="1" customWidth="1"/>
    <col min="3" max="3" width="13.109375" bestFit="1" customWidth="1"/>
  </cols>
  <sheetData>
    <row r="1" spans="1:3" x14ac:dyDescent="0.3">
      <c r="A1" t="s">
        <v>2</v>
      </c>
      <c r="B1" t="s">
        <v>17</v>
      </c>
      <c r="C1" t="s">
        <v>18</v>
      </c>
    </row>
    <row r="2" spans="1:3" x14ac:dyDescent="0.3">
      <c r="A2" s="1" t="s">
        <v>7</v>
      </c>
      <c r="B2" s="1" t="s">
        <v>19</v>
      </c>
      <c r="C2" s="1" t="s">
        <v>20</v>
      </c>
    </row>
    <row r="3" spans="1:3" x14ac:dyDescent="0.3">
      <c r="A3" s="1" t="s">
        <v>9</v>
      </c>
      <c r="B3" s="1" t="s">
        <v>21</v>
      </c>
      <c r="C3" s="1" t="s">
        <v>20</v>
      </c>
    </row>
    <row r="4" spans="1:3" x14ac:dyDescent="0.3">
      <c r="A4" s="1" t="s">
        <v>11</v>
      </c>
      <c r="B4" s="1" t="s">
        <v>22</v>
      </c>
      <c r="C4" s="1" t="s">
        <v>23</v>
      </c>
    </row>
    <row r="5" spans="1:3" x14ac:dyDescent="0.3">
      <c r="A5" s="1" t="s">
        <v>13</v>
      </c>
      <c r="B5" s="1" t="s">
        <v>24</v>
      </c>
      <c r="C5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EB59-085B-4E13-A571-35CEFB1322A2}">
  <dimension ref="A1:H16"/>
  <sheetViews>
    <sheetView workbookViewId="0">
      <selection sqref="A1:H13"/>
    </sheetView>
  </sheetViews>
  <sheetFormatPr defaultRowHeight="14.4" x14ac:dyDescent="0.3"/>
  <cols>
    <col min="1" max="1" width="10.5546875" bestFit="1" customWidth="1"/>
    <col min="2" max="2" width="8.5546875" bestFit="1" customWidth="1"/>
    <col min="3" max="3" width="10" bestFit="1" customWidth="1"/>
    <col min="4" max="4" width="9.77734375" bestFit="1" customWidth="1"/>
    <col min="5" max="5" width="17" bestFit="1" customWidth="1"/>
    <col min="6" max="6" width="13" bestFit="1" customWidth="1"/>
    <col min="7" max="7" width="13.109375" bestFit="1" customWidth="1"/>
    <col min="8" max="8" width="12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25</v>
      </c>
    </row>
    <row r="2" spans="1:8" x14ac:dyDescent="0.3">
      <c r="A2">
        <v>1</v>
      </c>
      <c r="B2" s="1" t="s">
        <v>6</v>
      </c>
      <c r="C2" s="1" t="s">
        <v>7</v>
      </c>
      <c r="D2" s="1" t="s">
        <v>8</v>
      </c>
      <c r="E2">
        <v>12</v>
      </c>
      <c r="F2">
        <v>4</v>
      </c>
      <c r="G2" s="1" t="str">
        <f>_xlfn.XLOOKUP(C2,Lookup!A:A,Lookup!C:C)</f>
        <v>Service</v>
      </c>
      <c r="H2" s="2">
        <f>IF(E2&gt;24,1,0)</f>
        <v>0</v>
      </c>
    </row>
    <row r="3" spans="1:8" x14ac:dyDescent="0.3">
      <c r="A3">
        <v>2</v>
      </c>
      <c r="B3" s="1" t="s">
        <v>6</v>
      </c>
      <c r="C3" s="1" t="s">
        <v>9</v>
      </c>
      <c r="D3" s="1" t="s">
        <v>10</v>
      </c>
      <c r="E3">
        <v>28</v>
      </c>
      <c r="F3">
        <v>3</v>
      </c>
      <c r="G3" s="1" t="str">
        <f>_xlfn.XLOOKUP(C3,Lookup!A:A,Lookup!C:C)</f>
        <v>Service</v>
      </c>
      <c r="H3" s="2">
        <f>IF(E3&gt;24,1,0)</f>
        <v>1</v>
      </c>
    </row>
    <row r="4" spans="1:8" x14ac:dyDescent="0.3">
      <c r="A4">
        <v>3</v>
      </c>
      <c r="B4" s="1" t="s">
        <v>6</v>
      </c>
      <c r="C4" s="1" t="s">
        <v>11</v>
      </c>
      <c r="D4" s="1" t="s">
        <v>12</v>
      </c>
      <c r="E4">
        <v>36</v>
      </c>
      <c r="F4">
        <v>2</v>
      </c>
      <c r="G4" s="1" t="str">
        <f>_xlfn.XLOOKUP(C4,Lookup!A:A,Lookup!C:C)</f>
        <v>Technical</v>
      </c>
      <c r="H4" s="2">
        <f t="shared" ref="H4:H13" si="0">IF(E4&gt;24,1,0)</f>
        <v>1</v>
      </c>
    </row>
    <row r="5" spans="1:8" x14ac:dyDescent="0.3">
      <c r="A5">
        <v>4</v>
      </c>
      <c r="B5" s="1" t="s">
        <v>6</v>
      </c>
      <c r="C5" s="1" t="s">
        <v>13</v>
      </c>
      <c r="D5" s="1" t="s">
        <v>8</v>
      </c>
      <c r="E5">
        <v>20</v>
      </c>
      <c r="F5">
        <v>4</v>
      </c>
      <c r="G5" s="1" t="str">
        <f>_xlfn.XLOOKUP(C5,Lookup!A:A,Lookup!C:C)</f>
        <v>Technical</v>
      </c>
      <c r="H5" s="2">
        <f t="shared" si="0"/>
        <v>0</v>
      </c>
    </row>
    <row r="6" spans="1:8" x14ac:dyDescent="0.3">
      <c r="A6">
        <v>5</v>
      </c>
      <c r="B6" s="1" t="s">
        <v>14</v>
      </c>
      <c r="C6" s="1" t="s">
        <v>7</v>
      </c>
      <c r="D6" s="1" t="s">
        <v>10</v>
      </c>
      <c r="E6">
        <v>8</v>
      </c>
      <c r="F6">
        <v>5</v>
      </c>
      <c r="G6" s="1" t="str">
        <f>_xlfn.XLOOKUP(C6,Lookup!A:A,Lookup!C:C)</f>
        <v>Service</v>
      </c>
      <c r="H6" s="2">
        <f t="shared" si="0"/>
        <v>0</v>
      </c>
    </row>
    <row r="7" spans="1:8" x14ac:dyDescent="0.3">
      <c r="A7">
        <v>6</v>
      </c>
      <c r="B7" s="1" t="s">
        <v>14</v>
      </c>
      <c r="C7" s="1" t="s">
        <v>9</v>
      </c>
      <c r="D7" s="1" t="s">
        <v>12</v>
      </c>
      <c r="E7">
        <v>30</v>
      </c>
      <c r="F7">
        <v>3</v>
      </c>
      <c r="G7" s="1" t="str">
        <f>_xlfn.XLOOKUP(C7,Lookup!A:A,Lookup!C:C)</f>
        <v>Service</v>
      </c>
      <c r="H7" s="2">
        <f t="shared" si="0"/>
        <v>1</v>
      </c>
    </row>
    <row r="8" spans="1:8" x14ac:dyDescent="0.3">
      <c r="A8">
        <v>7</v>
      </c>
      <c r="B8" s="1" t="s">
        <v>14</v>
      </c>
      <c r="C8" s="1" t="s">
        <v>11</v>
      </c>
      <c r="D8" s="1" t="s">
        <v>8</v>
      </c>
      <c r="E8">
        <v>18</v>
      </c>
      <c r="F8">
        <v>4</v>
      </c>
      <c r="G8" s="1" t="str">
        <f>_xlfn.XLOOKUP(C8,Lookup!A:A,Lookup!C:C)</f>
        <v>Technical</v>
      </c>
      <c r="H8" s="2">
        <f t="shared" si="0"/>
        <v>0</v>
      </c>
    </row>
    <row r="9" spans="1:8" x14ac:dyDescent="0.3">
      <c r="A9">
        <v>8</v>
      </c>
      <c r="B9" s="1" t="s">
        <v>14</v>
      </c>
      <c r="C9" s="1" t="s">
        <v>13</v>
      </c>
      <c r="D9" s="1" t="s">
        <v>10</v>
      </c>
      <c r="E9">
        <v>40</v>
      </c>
      <c r="F9">
        <v>2</v>
      </c>
      <c r="G9" s="1" t="str">
        <f>_xlfn.XLOOKUP(C9,Lookup!A:A,Lookup!C:C)</f>
        <v>Technical</v>
      </c>
      <c r="H9" s="2">
        <f t="shared" si="0"/>
        <v>1</v>
      </c>
    </row>
    <row r="10" spans="1:8" x14ac:dyDescent="0.3">
      <c r="A10">
        <v>9</v>
      </c>
      <c r="B10" s="1" t="s">
        <v>15</v>
      </c>
      <c r="C10" s="1" t="s">
        <v>7</v>
      </c>
      <c r="D10" s="1" t="s">
        <v>12</v>
      </c>
      <c r="E10">
        <v>16</v>
      </c>
      <c r="F10">
        <v>4</v>
      </c>
      <c r="G10" s="1" t="str">
        <f>_xlfn.XLOOKUP(C10,Lookup!A:A,Lookup!C:C)</f>
        <v>Service</v>
      </c>
      <c r="H10" s="2">
        <f t="shared" si="0"/>
        <v>0</v>
      </c>
    </row>
    <row r="11" spans="1:8" x14ac:dyDescent="0.3">
      <c r="A11">
        <v>10</v>
      </c>
      <c r="B11" s="1" t="s">
        <v>15</v>
      </c>
      <c r="C11" s="1" t="s">
        <v>9</v>
      </c>
      <c r="D11" s="1" t="s">
        <v>8</v>
      </c>
      <c r="E11">
        <v>22</v>
      </c>
      <c r="F11">
        <v>4</v>
      </c>
      <c r="G11" s="1" t="str">
        <f>_xlfn.XLOOKUP(C11,Lookup!A:A,Lookup!C:C)</f>
        <v>Service</v>
      </c>
      <c r="H11" s="2">
        <f t="shared" si="0"/>
        <v>0</v>
      </c>
    </row>
    <row r="12" spans="1:8" x14ac:dyDescent="0.3">
      <c r="A12">
        <v>11</v>
      </c>
      <c r="B12" s="1" t="s">
        <v>15</v>
      </c>
      <c r="C12" s="1" t="s">
        <v>11</v>
      </c>
      <c r="D12" s="1" t="s">
        <v>10</v>
      </c>
      <c r="E12">
        <v>32</v>
      </c>
      <c r="F12">
        <v>3</v>
      </c>
      <c r="G12" s="1" t="str">
        <f>_xlfn.XLOOKUP(C12,Lookup!A:A,Lookup!C:C)</f>
        <v>Technical</v>
      </c>
      <c r="H12" s="2">
        <f t="shared" si="0"/>
        <v>1</v>
      </c>
    </row>
    <row r="13" spans="1:8" x14ac:dyDescent="0.3">
      <c r="A13">
        <v>12</v>
      </c>
      <c r="B13" s="1" t="s">
        <v>15</v>
      </c>
      <c r="C13" s="1" t="s">
        <v>13</v>
      </c>
      <c r="D13" s="1" t="s">
        <v>12</v>
      </c>
      <c r="E13">
        <v>24</v>
      </c>
      <c r="F13">
        <v>5</v>
      </c>
      <c r="G13" s="1" t="str">
        <f>_xlfn.XLOOKUP(C13,Lookup!A:A,Lookup!C:C)</f>
        <v>Technical</v>
      </c>
      <c r="H13" s="2">
        <f t="shared" si="0"/>
        <v>0</v>
      </c>
    </row>
    <row r="16" spans="1:8" x14ac:dyDescent="0.3">
      <c r="A16" s="3" t="s">
        <v>16</v>
      </c>
      <c r="B16" s="5">
        <f>COUNTA(A2:A13)</f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53C36-18CF-493C-85CF-17245C961BD2}">
  <dimension ref="A1:E11"/>
  <sheetViews>
    <sheetView tabSelected="1" workbookViewId="0">
      <selection activeCell="B20" sqref="B20"/>
    </sheetView>
  </sheetViews>
  <sheetFormatPr defaultRowHeight="14.4" x14ac:dyDescent="0.3"/>
  <cols>
    <col min="1" max="1" width="23.77734375" bestFit="1" customWidth="1"/>
    <col min="2" max="2" width="15.5546875" bestFit="1" customWidth="1"/>
    <col min="3" max="3" width="4.109375" bestFit="1" customWidth="1"/>
    <col min="4" max="4" width="5" bestFit="1" customWidth="1"/>
    <col min="5" max="5" width="12" bestFit="1" customWidth="1"/>
  </cols>
  <sheetData>
    <row r="1" spans="1:5" x14ac:dyDescent="0.3">
      <c r="A1" t="s">
        <v>26</v>
      </c>
      <c r="B1" t="s">
        <v>27</v>
      </c>
    </row>
    <row r="2" spans="1:5" x14ac:dyDescent="0.3">
      <c r="A2" s="6" t="s">
        <v>8</v>
      </c>
      <c r="B2">
        <f>COUNTIFS(Clean!$D$2:$D$13,A2,Clean!$H$2:$H$13,1)</f>
        <v>0</v>
      </c>
    </row>
    <row r="3" spans="1:5" ht="16.8" x14ac:dyDescent="0.3">
      <c r="A3" s="7" t="s">
        <v>10</v>
      </c>
      <c r="B3">
        <f>COUNTIFS(Clean!$D$2:$D$13,A3,Clean!$H$2:$H$13,1)</f>
        <v>3</v>
      </c>
    </row>
    <row r="4" spans="1:5" ht="16.8" x14ac:dyDescent="0.3">
      <c r="A4" s="7" t="s">
        <v>12</v>
      </c>
      <c r="B4">
        <f>COUNTIFS(Clean!$D$2:$D$13,A4,Clean!$H$2:$H$13,1)</f>
        <v>2</v>
      </c>
    </row>
    <row r="7" spans="1:5" x14ac:dyDescent="0.3">
      <c r="A7" s="8" t="s">
        <v>31</v>
      </c>
      <c r="B7" s="8" t="s">
        <v>30</v>
      </c>
    </row>
    <row r="8" spans="1:5" x14ac:dyDescent="0.3">
      <c r="A8" s="8" t="s">
        <v>28</v>
      </c>
      <c r="B8" t="s">
        <v>6</v>
      </c>
      <c r="C8" t="s">
        <v>14</v>
      </c>
      <c r="D8" t="s">
        <v>15</v>
      </c>
      <c r="E8" t="s">
        <v>29</v>
      </c>
    </row>
    <row r="9" spans="1:5" x14ac:dyDescent="0.3">
      <c r="A9" s="9" t="s">
        <v>20</v>
      </c>
      <c r="B9" s="1">
        <v>20</v>
      </c>
      <c r="C9" s="1">
        <v>19</v>
      </c>
      <c r="D9" s="1">
        <v>19</v>
      </c>
      <c r="E9" s="1">
        <v>19.333333333333332</v>
      </c>
    </row>
    <row r="10" spans="1:5" x14ac:dyDescent="0.3">
      <c r="A10" s="9" t="s">
        <v>23</v>
      </c>
      <c r="B10" s="1">
        <v>28</v>
      </c>
      <c r="C10" s="1">
        <v>29</v>
      </c>
      <c r="D10" s="1">
        <v>28</v>
      </c>
      <c r="E10" s="1">
        <v>28.333333333333332</v>
      </c>
    </row>
    <row r="11" spans="1:5" x14ac:dyDescent="0.3">
      <c r="A11" s="9" t="s">
        <v>29</v>
      </c>
      <c r="B11" s="1">
        <v>24</v>
      </c>
      <c r="C11" s="1">
        <v>24</v>
      </c>
      <c r="D11" s="1">
        <v>23.5</v>
      </c>
      <c r="E11" s="1">
        <v>23.833333333333332</v>
      </c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7B0109-DCD1-415C-B5F0-E4835CADB8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Devanshi Bacchhote</dc:creator>
  <cp:lastModifiedBy>Devanshi Bacchhote</cp:lastModifiedBy>
  <dcterms:created xsi:type="dcterms:W3CDTF">2026-10-03T05:56:59Z</dcterms:created>
  <dcterms:modified xsi:type="dcterms:W3CDTF">2026-10-03T06:46:53Z</dcterms:modified>
</cp:coreProperties>
</file>